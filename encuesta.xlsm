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Tesis\"/>
    </mc:Choice>
  </mc:AlternateContent>
  <xr:revisionPtr revIDLastSave="0" documentId="13_ncr:1_{9359AA4A-01A4-4A5C-A77C-59578C0E51D2}" xr6:coauthVersionLast="47" xr6:coauthVersionMax="47" xr10:uidLastSave="{00000000-0000-0000-0000-000000000000}"/>
  <bookViews>
    <workbookView xWindow="-120" yWindow="-120" windowWidth="20730" windowHeight="11760" xr2:uid="{F22F1AAB-E9A0-4F6A-89E8-6E125072A0FF}"/>
  </bookViews>
  <sheets>
    <sheet name="encuesta" sheetId="1" r:id="rId1"/>
  </sheets>
  <calcPr calcId="191029"/>
</workbook>
</file>

<file path=xl/calcChain.xml><?xml version="1.0" encoding="utf-8"?>
<calcChain xmlns="http://schemas.openxmlformats.org/spreadsheetml/2006/main">
  <c r="B177" i="1" l="1"/>
  <c r="B176" i="1"/>
  <c r="B175" i="1"/>
  <c r="B174" i="1"/>
  <c r="B160" i="1"/>
  <c r="B159" i="1"/>
  <c r="B158" i="1"/>
  <c r="B157" i="1"/>
  <c r="B138" i="1"/>
  <c r="B137" i="1"/>
  <c r="B123" i="1"/>
  <c r="B122" i="1"/>
  <c r="B121" i="1"/>
  <c r="B100" i="1"/>
  <c r="B101" i="1"/>
  <c r="B99" i="1"/>
  <c r="B85" i="1"/>
  <c r="B84" i="1"/>
  <c r="B83" i="1"/>
  <c r="B82" i="1"/>
  <c r="B64" i="1"/>
  <c r="B63" i="1"/>
  <c r="B62" i="1"/>
  <c r="B61" i="1"/>
  <c r="B44" i="1"/>
  <c r="B43" i="1"/>
  <c r="B42" i="1"/>
  <c r="B41" i="1"/>
  <c r="B23" i="1"/>
  <c r="B21" i="1"/>
  <c r="B22" i="1"/>
</calcChain>
</file>

<file path=xl/sharedStrings.xml><?xml version="1.0" encoding="utf-8"?>
<sst xmlns="http://schemas.openxmlformats.org/spreadsheetml/2006/main" count="44" uniqueCount="42">
  <si>
    <t>¿Cree usted que favorecerá el sistema de inventario actual en la empresa Lácteos Tío Rico?</t>
  </si>
  <si>
    <t>Si</t>
  </si>
  <si>
    <t>No</t>
  </si>
  <si>
    <t>¿Cree usted que el uso de las Tic Mejorara la gestión de inventario en lácteos Tío Rico?</t>
  </si>
  <si>
    <t xml:space="preserve">No </t>
  </si>
  <si>
    <t>Tal vez</t>
  </si>
  <si>
    <t>¿Cómo gestionan actualmente los inventarios en la empresa? (pueden seleccionar varias)</t>
  </si>
  <si>
    <t>Manualmente (en papel)</t>
  </si>
  <si>
    <t>En hojas de cálculo</t>
  </si>
  <si>
    <t>Con software especializado</t>
  </si>
  <si>
    <t>No tenemos un sistema formal</t>
  </si>
  <si>
    <t>¿Qué problemas han identificado en la gestión actual del inventario?(pueden seleccionar varias)</t>
  </si>
  <si>
    <t>Pérdida de productos</t>
  </si>
  <si>
    <t>Falta de actualización en tiempo real</t>
  </si>
  <si>
    <t>Duplicación de registros</t>
  </si>
  <si>
    <t xml:space="preserve">Demoras y retrasos </t>
  </si>
  <si>
    <t>¿Qué características consideran esenciales en el nuevo sistema de inventario? (pueden seleccionar varias)</t>
  </si>
  <si>
    <t>Actualización en tiempo real</t>
  </si>
  <si>
    <t>Generación automática de reportes</t>
  </si>
  <si>
    <t>Acceso remoto</t>
  </si>
  <si>
    <t>Control de acceso según el rol</t>
  </si>
  <si>
    <t>¿Cuáles son los puntos críticos en el control del inventario?(pueden seleccionar varias)</t>
  </si>
  <si>
    <t>Errores en el registro de productos</t>
  </si>
  <si>
    <t>Descoordinación en la entrada y salida de productos</t>
  </si>
  <si>
    <t>Pérdida de información/documentación</t>
  </si>
  <si>
    <t>¿Qué tipo de alertas o notificaciones les gustaría recibir del sistema? (pueden seleccionar varias)</t>
  </si>
  <si>
    <t>Baja disponibilidad de productos</t>
  </si>
  <si>
    <t>Errores en la entrada/salida deproductos</t>
  </si>
  <si>
    <t>Productos vencidos</t>
  </si>
  <si>
    <t>¿Cómo se organiza el flujo de inventario desde el ingreso hasta la salida de productos?</t>
  </si>
  <si>
    <t>Manualmente, con registro en papel</t>
  </si>
  <si>
    <t>En un sistema de software existente</t>
  </si>
  <si>
    <t>¿Cómo consultan actualmente el inventario antes de realizar una venta?</t>
  </si>
  <si>
    <t>Contactando al administrador</t>
  </si>
  <si>
    <t>Consultando hojas de cálculo</t>
  </si>
  <si>
    <t>Accediendo a un sistema</t>
  </si>
  <si>
    <t>No consulto</t>
  </si>
  <si>
    <t>¿Con qué frecuencia se encuentran con problemas relacionados con la falta de stock o productos Vencidos?</t>
  </si>
  <si>
    <t>Siempre</t>
  </si>
  <si>
    <t>Frecuentemente</t>
  </si>
  <si>
    <t>Raramente</t>
  </si>
  <si>
    <t>Nunca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</si>
</sst>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0" applyNumberFormat="1"/>
    <xf numFmtId="9" fontId="0" fillId="0" borderId="0" xfId="42" applyFont="1"/>
    <xf numFmtId="164" fontId="0" fillId="0" borderId="0" xfId="42" applyNumberFormat="1" applyFont="1"/>
    <xf numFmtId="9" fontId="0" fillId="0" borderId="0" xfId="42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¿Cree usted que favorecerá el sistema de inventario actual en la empresa Lácteos Tío Rico?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0B5-47A7-B1D9-95EBA0950D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0B5-47A7-B1D9-95EBA0950D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encuesta!$A$2:$A$3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encuesta!$B$2:$B$3</c:f>
              <c:numCache>
                <c:formatCode>General</c:formatCode>
                <c:ptCount val="2"/>
                <c:pt idx="0" formatCode="0%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F-4B2D-AEE1-E6746D89C8C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¿Cree usted que el uso de las Tic Mejorara la gestión de inventario en lácteos Tío Rico?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806-4825-9B46-1E759DFC00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806-4825-9B46-1E759DFC00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433-404E-9CC9-C0979B1F8A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encuesta!$A$21:$A$23</c:f>
              <c:strCache>
                <c:ptCount val="3"/>
                <c:pt idx="0">
                  <c:v>Si</c:v>
                </c:pt>
                <c:pt idx="1">
                  <c:v>No </c:v>
                </c:pt>
                <c:pt idx="2">
                  <c:v>Tal vez</c:v>
                </c:pt>
              </c:strCache>
            </c:strRef>
          </c:cat>
          <c:val>
            <c:numRef>
              <c:f>encuesta!$B$21:$B$23</c:f>
              <c:numCache>
                <c:formatCode>0.0%</c:formatCode>
                <c:ptCount val="3"/>
                <c:pt idx="0">
                  <c:v>0.875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06-4825-9B46-1E759DF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¿Cómo gestionan actualmente los inventarios en la empresa? 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895-48EB-B35A-1AB80AC372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895-48EB-B35A-1AB80AC372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895-48EB-B35A-1AB80AC372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EF5-4059-A9F0-D67505A6E4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encuesta!$A$41:$A$44</c:f>
              <c:strCache>
                <c:ptCount val="4"/>
                <c:pt idx="0">
                  <c:v>Manualmente (en papel)</c:v>
                </c:pt>
                <c:pt idx="1">
                  <c:v>En hojas de cálculo</c:v>
                </c:pt>
                <c:pt idx="2">
                  <c:v>Con software especializado</c:v>
                </c:pt>
                <c:pt idx="3">
                  <c:v>No tenemos un sistema formal</c:v>
                </c:pt>
              </c:strCache>
            </c:strRef>
          </c:cat>
          <c:val>
            <c:numRef>
              <c:f>encuesta!$B$41:$B$44</c:f>
              <c:numCache>
                <c:formatCode>0.0%</c:formatCode>
                <c:ptCount val="4"/>
                <c:pt idx="0">
                  <c:v>0.875</c:v>
                </c:pt>
                <c:pt idx="1">
                  <c:v>0.125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95-48EB-B35A-1AB80AC372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¿Qué problemas han identificado en la gestión actual del inventario?(pueden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C7D-4B29-8863-07F5C3EE6E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C7D-4B29-8863-07F5C3EE6E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C7D-4B29-8863-07F5C3EE6E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C7D-4B29-8863-07F5C3EE6E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encuesta!$A$61:$A$64</c:f>
              <c:strCache>
                <c:ptCount val="4"/>
                <c:pt idx="0">
                  <c:v>Pérdida de productos</c:v>
                </c:pt>
                <c:pt idx="1">
                  <c:v>Falta de actualización en tiempo real</c:v>
                </c:pt>
                <c:pt idx="2">
                  <c:v>Duplicación de registros</c:v>
                </c:pt>
                <c:pt idx="3">
                  <c:v>Demoras y retrasos </c:v>
                </c:pt>
              </c:strCache>
            </c:strRef>
          </c:cat>
          <c:val>
            <c:numRef>
              <c:f>encuesta!$B$61:$B$64</c:f>
              <c:numCache>
                <c:formatCode>0.0%</c:formatCode>
                <c:ptCount val="4"/>
                <c:pt idx="0">
                  <c:v>0.25</c:v>
                </c:pt>
                <c:pt idx="1">
                  <c:v>0.625</c:v>
                </c:pt>
                <c:pt idx="2">
                  <c:v>0</c:v>
                </c:pt>
                <c:pt idx="3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7D-4B29-8863-07F5C3EE6EF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¿Qué características consideran esenciales en el nuevo sistema de inventario? 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8A3-46E8-B836-07EF2A50C5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8A3-46E8-B836-07EF2A50C5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8A3-46E8-B836-07EF2A50C5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8A3-46E8-B836-07EF2A50C5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encuesta!$A$82:$A$85</c:f>
              <c:strCache>
                <c:ptCount val="4"/>
                <c:pt idx="0">
                  <c:v>Actualización en tiempo real</c:v>
                </c:pt>
                <c:pt idx="1">
                  <c:v>Generación automática de reportes</c:v>
                </c:pt>
                <c:pt idx="2">
                  <c:v>Acceso remoto</c:v>
                </c:pt>
                <c:pt idx="3">
                  <c:v>Control de acceso según el rol</c:v>
                </c:pt>
              </c:strCache>
            </c:strRef>
          </c:cat>
          <c:val>
            <c:numRef>
              <c:f>encuesta!$B$82:$B$85</c:f>
              <c:numCache>
                <c:formatCode>0.0%</c:formatCode>
                <c:ptCount val="4"/>
                <c:pt idx="0">
                  <c:v>0.25</c:v>
                </c:pt>
                <c:pt idx="1">
                  <c:v>0.375</c:v>
                </c:pt>
                <c:pt idx="2">
                  <c:v>0.375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A3-46E8-B836-07EF2A50C5A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¿Cuáles son los puntos críticos en el control del inventario?(pueden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30F-4E62-8A1A-6D8CCC7200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30F-4E62-8A1A-6D8CCC7200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30F-4E62-8A1A-6D8CCC7200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30F-4E62-8A1A-6D8CCC7200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encuesta!$A$99:$A$101</c:f>
              <c:strCache>
                <c:ptCount val="3"/>
                <c:pt idx="0">
                  <c:v>Errores en el registro de productos</c:v>
                </c:pt>
                <c:pt idx="1">
                  <c:v>Descoordinación en la entrada y salida de productos</c:v>
                </c:pt>
                <c:pt idx="2">
                  <c:v>Pérdida de información/documentación</c:v>
                </c:pt>
              </c:strCache>
            </c:strRef>
          </c:cat>
          <c:val>
            <c:numRef>
              <c:f>encuesta!$B$99:$B$101</c:f>
              <c:numCache>
                <c:formatCode>0.0%</c:formatCode>
                <c:ptCount val="3"/>
                <c:pt idx="0">
                  <c:v>0.125</c:v>
                </c:pt>
                <c:pt idx="1">
                  <c:v>0.75</c:v>
                </c:pt>
                <c:pt idx="2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0F-4E62-8A1A-6D8CCC72008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¿Qué tipo de alertas o notificaciones les gustaría recibir del sistema? 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A6E-47F3-9BE6-7259096CCC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A6E-47F3-9BE6-7259096CCCC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A6E-47F3-9BE6-7259096CCCC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A6E-47F3-9BE6-7259096CCC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encuesta!$A$121:$A$123</c:f>
              <c:strCache>
                <c:ptCount val="3"/>
                <c:pt idx="0">
                  <c:v>Baja disponibilidad de productos</c:v>
                </c:pt>
                <c:pt idx="1">
                  <c:v>Errores en la entrada/salida deproductos</c:v>
                </c:pt>
                <c:pt idx="2">
                  <c:v>Productos vencidos</c:v>
                </c:pt>
              </c:strCache>
            </c:strRef>
          </c:cat>
          <c:val>
            <c:numRef>
              <c:f>encuesta!$B$121:$B$123</c:f>
              <c:numCache>
                <c:formatCode>0%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6E-47F3-9BE6-7259096CCCC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¿Cómo se organiza el flujo de inventario desde el ingreso hasta la salida de productos?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36-4D97-8D1B-3F8F124493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36-4D97-8D1B-3F8F124493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36-4D97-8D1B-3F8F124493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36-4D97-8D1B-3F8F124493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encuesta!$A$137:$A$139</c:f>
              <c:strCache>
                <c:ptCount val="3"/>
                <c:pt idx="0">
                  <c:v>Manualmente, con registro en papel</c:v>
                </c:pt>
                <c:pt idx="1">
                  <c:v>En hojas de cálculo</c:v>
                </c:pt>
                <c:pt idx="2">
                  <c:v>En un sistema de software existente</c:v>
                </c:pt>
              </c:strCache>
            </c:strRef>
          </c:cat>
          <c:val>
            <c:numRef>
              <c:f>encuesta!$B$137:$B$139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36-4D97-8D1B-3F8F124493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¿Cómo consultan actualmente el inventario antes de realizar una venta?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DCF-4261-A1A7-DD355F1DAC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DCF-4261-A1A7-DD355F1DAC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DCF-4261-A1A7-DD355F1DAC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DCF-4261-A1A7-DD355F1DACDC}"/>
              </c:ext>
            </c:extLst>
          </c:dPt>
          <c:dLbls>
            <c:dLbl>
              <c:idx val="3"/>
              <c:layout>
                <c:manualLayout>
                  <c:x val="0.12194925634295713"/>
                  <c:y val="-2.240995917177019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CF-4261-A1A7-DD355F1DAC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encuesta!$A$157:$A$160</c:f>
              <c:strCache>
                <c:ptCount val="4"/>
                <c:pt idx="0">
                  <c:v>Contactando al administrador</c:v>
                </c:pt>
                <c:pt idx="1">
                  <c:v>Consultando hojas de cálculo</c:v>
                </c:pt>
                <c:pt idx="2">
                  <c:v>Accediendo a un sistema</c:v>
                </c:pt>
                <c:pt idx="3">
                  <c:v>No consulto</c:v>
                </c:pt>
              </c:strCache>
            </c:strRef>
          </c:cat>
          <c:val>
            <c:numRef>
              <c:f>encuesta!$B$157:$B$160</c:f>
              <c:numCache>
                <c:formatCode>0.0%</c:formatCode>
                <c:ptCount val="4"/>
                <c:pt idx="0">
                  <c:v>0.875</c:v>
                </c:pt>
                <c:pt idx="1">
                  <c:v>0</c:v>
                </c:pt>
                <c:pt idx="2">
                  <c:v>0</c:v>
                </c:pt>
                <c:pt idx="3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CF-4261-A1A7-DD355F1DACD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¿Con qué frecuencia se encuentran con problemas relacionados con la falta de stock o productos Vencidos?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35A-4888-871B-2AD26661C3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35A-4888-871B-2AD26661C3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35A-4888-871B-2AD26661C3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35A-4888-871B-2AD26661C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encuesta!$A$174:$A$177</c:f>
              <c:strCache>
                <c:ptCount val="4"/>
                <c:pt idx="0">
                  <c:v>Siempre</c:v>
                </c:pt>
                <c:pt idx="1">
                  <c:v>Frecuentemente</c:v>
                </c:pt>
                <c:pt idx="2">
                  <c:v>Raramente</c:v>
                </c:pt>
                <c:pt idx="3">
                  <c:v>Nunca</c:v>
                </c:pt>
              </c:strCache>
            </c:strRef>
          </c:cat>
          <c:val>
            <c:numRef>
              <c:f>encuesta!$B$174:$B$177</c:f>
              <c:numCache>
                <c:formatCode>0.0%</c:formatCode>
                <c:ptCount val="4"/>
                <c:pt idx="0">
                  <c:v>0</c:v>
                </c:pt>
                <c:pt idx="1">
                  <c:v>0.25</c:v>
                </c:pt>
                <c:pt idx="2">
                  <c:v>0.625</c:v>
                </c:pt>
                <c:pt idx="3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5A-4888-871B-2AD26661C3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114300</xdr:rowOff>
    </xdr:from>
    <xdr:to>
      <xdr:col>9</xdr:col>
      <xdr:colOff>285750</xdr:colOff>
      <xdr:row>17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0424431-787D-35D2-CFD9-2D2FE48CA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21</xdr:row>
      <xdr:rowOff>0</xdr:rowOff>
    </xdr:from>
    <xdr:to>
      <xdr:col>9</xdr:col>
      <xdr:colOff>0</xdr:colOff>
      <xdr:row>35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EFCD2A-24C0-44ED-B9CB-4040D7394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9</xdr:col>
      <xdr:colOff>0</xdr:colOff>
      <xdr:row>55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517EF4B-499C-4365-8272-AA80E912E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61</xdr:row>
      <xdr:rowOff>0</xdr:rowOff>
    </xdr:from>
    <xdr:to>
      <xdr:col>9</xdr:col>
      <xdr:colOff>0</xdr:colOff>
      <xdr:row>75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276738E-1CE2-4486-B3DC-FC95BB903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82</xdr:row>
      <xdr:rowOff>0</xdr:rowOff>
    </xdr:from>
    <xdr:to>
      <xdr:col>9</xdr:col>
      <xdr:colOff>0</xdr:colOff>
      <xdr:row>96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18F8352-9216-4ABA-B699-35D0E47A7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99</xdr:row>
      <xdr:rowOff>0</xdr:rowOff>
    </xdr:from>
    <xdr:to>
      <xdr:col>9</xdr:col>
      <xdr:colOff>0</xdr:colOff>
      <xdr:row>113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2D3E0C-D390-4DA0-81F4-7AA2DA4C8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0</xdr:colOff>
      <xdr:row>135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BE20D48-E8AD-403F-BF78-DD002046D7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137</xdr:row>
      <xdr:rowOff>0</xdr:rowOff>
    </xdr:from>
    <xdr:to>
      <xdr:col>9</xdr:col>
      <xdr:colOff>0</xdr:colOff>
      <xdr:row>151</xdr:row>
      <xdr:rowOff>76200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14D57AC-7996-4687-981F-28A47C948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156</xdr:row>
      <xdr:rowOff>0</xdr:rowOff>
    </xdr:from>
    <xdr:to>
      <xdr:col>9</xdr:col>
      <xdr:colOff>0</xdr:colOff>
      <xdr:row>170</xdr:row>
      <xdr:rowOff>76200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A8DFF37-C323-45E2-90E1-6FCAA1C3F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174</xdr:row>
      <xdr:rowOff>0</xdr:rowOff>
    </xdr:from>
    <xdr:to>
      <xdr:col>9</xdr:col>
      <xdr:colOff>0</xdr:colOff>
      <xdr:row>188</xdr:row>
      <xdr:rowOff>76200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C170002-3A34-4E6D-9C8C-3AC4D0099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966B7-DD33-4056-A4B1-B11455496AAF}">
  <dimension ref="A1:B177"/>
  <sheetViews>
    <sheetView tabSelected="1" topLeftCell="A178" zoomScale="115" zoomScaleNormal="115" workbookViewId="0">
      <selection activeCell="B159" sqref="B159"/>
    </sheetView>
  </sheetViews>
  <sheetFormatPr baseColWidth="10"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  <c r="B2" s="1">
        <v>1</v>
      </c>
    </row>
    <row r="3" spans="1:2" x14ac:dyDescent="0.25">
      <c r="A3" t="s">
        <v>2</v>
      </c>
      <c r="B3" s="1">
        <v>0</v>
      </c>
    </row>
    <row r="20" spans="1:2" x14ac:dyDescent="0.25">
      <c r="A20" t="s">
        <v>3</v>
      </c>
    </row>
    <row r="21" spans="1:2" x14ac:dyDescent="0.25">
      <c r="A21" t="s">
        <v>1</v>
      </c>
      <c r="B21" s="3">
        <f>7*100/8/100</f>
        <v>0.875</v>
      </c>
    </row>
    <row r="22" spans="1:2" x14ac:dyDescent="0.25">
      <c r="A22" t="s">
        <v>4</v>
      </c>
      <c r="B22" s="3">
        <f>0*100/8</f>
        <v>0</v>
      </c>
    </row>
    <row r="23" spans="1:2" x14ac:dyDescent="0.25">
      <c r="A23" t="s">
        <v>5</v>
      </c>
      <c r="B23" s="3">
        <f>1*100/8/100</f>
        <v>0.125</v>
      </c>
    </row>
    <row r="40" spans="1:2" x14ac:dyDescent="0.25">
      <c r="A40" t="s">
        <v>6</v>
      </c>
    </row>
    <row r="41" spans="1:2" x14ac:dyDescent="0.25">
      <c r="A41" t="s">
        <v>7</v>
      </c>
      <c r="B41" s="3">
        <f>7*100/8/100</f>
        <v>0.875</v>
      </c>
    </row>
    <row r="42" spans="1:2" x14ac:dyDescent="0.25">
      <c r="A42" t="s">
        <v>8</v>
      </c>
      <c r="B42" s="3">
        <f>1*100/8/100</f>
        <v>0.125</v>
      </c>
    </row>
    <row r="43" spans="1:2" x14ac:dyDescent="0.25">
      <c r="A43" t="s">
        <v>9</v>
      </c>
      <c r="B43" s="3">
        <f>0*100/8/100</f>
        <v>0</v>
      </c>
    </row>
    <row r="44" spans="1:2" x14ac:dyDescent="0.25">
      <c r="A44" t="s">
        <v>10</v>
      </c>
      <c r="B44" s="3">
        <f>0*100/8/100</f>
        <v>0</v>
      </c>
    </row>
    <row r="60" spans="1:2" x14ac:dyDescent="0.25">
      <c r="A60" t="s">
        <v>11</v>
      </c>
    </row>
    <row r="61" spans="1:2" x14ac:dyDescent="0.25">
      <c r="A61" t="s">
        <v>12</v>
      </c>
      <c r="B61" s="3">
        <f>2*100/8/100</f>
        <v>0.25</v>
      </c>
    </row>
    <row r="62" spans="1:2" x14ac:dyDescent="0.25">
      <c r="A62" t="s">
        <v>13</v>
      </c>
      <c r="B62" s="3">
        <f>5*100/8/100</f>
        <v>0.625</v>
      </c>
    </row>
    <row r="63" spans="1:2" x14ac:dyDescent="0.25">
      <c r="A63" t="s">
        <v>14</v>
      </c>
      <c r="B63" s="3">
        <f>0*100/8/100</f>
        <v>0</v>
      </c>
    </row>
    <row r="64" spans="1:2" x14ac:dyDescent="0.25">
      <c r="A64" t="s">
        <v>15</v>
      </c>
      <c r="B64" s="3">
        <f>1*100/8/100</f>
        <v>0.125</v>
      </c>
    </row>
    <row r="81" spans="1:2" x14ac:dyDescent="0.25">
      <c r="A81" t="s">
        <v>16</v>
      </c>
    </row>
    <row r="82" spans="1:2" x14ac:dyDescent="0.25">
      <c r="A82" t="s">
        <v>17</v>
      </c>
      <c r="B82" s="3">
        <f>2*100/8/100</f>
        <v>0.25</v>
      </c>
    </row>
    <row r="83" spans="1:2" x14ac:dyDescent="0.25">
      <c r="A83" t="s">
        <v>18</v>
      </c>
      <c r="B83" s="3">
        <f>3*100/8/100</f>
        <v>0.375</v>
      </c>
    </row>
    <row r="84" spans="1:2" x14ac:dyDescent="0.25">
      <c r="A84" t="s">
        <v>19</v>
      </c>
      <c r="B84" s="3">
        <f>3*100/8/100</f>
        <v>0.375</v>
      </c>
    </row>
    <row r="85" spans="1:2" x14ac:dyDescent="0.25">
      <c r="A85" t="s">
        <v>20</v>
      </c>
      <c r="B85" s="3">
        <f>0*100/8/100</f>
        <v>0</v>
      </c>
    </row>
    <row r="98" spans="1:2" x14ac:dyDescent="0.25">
      <c r="A98" t="s">
        <v>21</v>
      </c>
    </row>
    <row r="99" spans="1:2" x14ac:dyDescent="0.25">
      <c r="A99" t="s">
        <v>22</v>
      </c>
      <c r="B99" s="3">
        <f>1*100/8/100</f>
        <v>0.125</v>
      </c>
    </row>
    <row r="100" spans="1:2" x14ac:dyDescent="0.25">
      <c r="A100" t="s">
        <v>23</v>
      </c>
      <c r="B100" s="3">
        <f>6*100/8/100</f>
        <v>0.75</v>
      </c>
    </row>
    <row r="101" spans="1:2" x14ac:dyDescent="0.25">
      <c r="A101" t="s">
        <v>24</v>
      </c>
      <c r="B101" s="3">
        <f>1*100/8/100</f>
        <v>0.125</v>
      </c>
    </row>
    <row r="120" spans="1:2" x14ac:dyDescent="0.25">
      <c r="A120" t="s">
        <v>25</v>
      </c>
    </row>
    <row r="121" spans="1:2" x14ac:dyDescent="0.25">
      <c r="A121" t="s">
        <v>26</v>
      </c>
      <c r="B121" s="4">
        <f>2*100/8/100</f>
        <v>0.25</v>
      </c>
    </row>
    <row r="122" spans="1:2" x14ac:dyDescent="0.25">
      <c r="A122" t="s">
        <v>27</v>
      </c>
      <c r="B122" s="4">
        <f>4*100/8/100</f>
        <v>0.5</v>
      </c>
    </row>
    <row r="123" spans="1:2" x14ac:dyDescent="0.25">
      <c r="A123" t="s">
        <v>28</v>
      </c>
      <c r="B123" s="4">
        <f>2*100/8/100</f>
        <v>0.25</v>
      </c>
    </row>
    <row r="136" spans="1:2" x14ac:dyDescent="0.25">
      <c r="A136" t="s">
        <v>29</v>
      </c>
    </row>
    <row r="137" spans="1:2" x14ac:dyDescent="0.25">
      <c r="A137" t="s">
        <v>30</v>
      </c>
      <c r="B137" s="2">
        <f>8*100/8/100</f>
        <v>1</v>
      </c>
    </row>
    <row r="138" spans="1:2" x14ac:dyDescent="0.25">
      <c r="A138" t="s">
        <v>8</v>
      </c>
      <c r="B138" s="2">
        <f>0*100/8/100</f>
        <v>0</v>
      </c>
    </row>
    <row r="139" spans="1:2" x14ac:dyDescent="0.25">
      <c r="A139" t="s">
        <v>31</v>
      </c>
    </row>
    <row r="155" spans="1:2" x14ac:dyDescent="0.25">
      <c r="A155" t="s">
        <v>32</v>
      </c>
    </row>
    <row r="157" spans="1:2" x14ac:dyDescent="0.25">
      <c r="A157" t="s">
        <v>33</v>
      </c>
      <c r="B157" s="3">
        <f>7*100/8/100</f>
        <v>0.875</v>
      </c>
    </row>
    <row r="158" spans="1:2" x14ac:dyDescent="0.25">
      <c r="A158" t="s">
        <v>34</v>
      </c>
      <c r="B158" s="3">
        <f>0*100/8/100</f>
        <v>0</v>
      </c>
    </row>
    <row r="159" spans="1:2" x14ac:dyDescent="0.25">
      <c r="A159" t="s">
        <v>35</v>
      </c>
      <c r="B159" s="3">
        <f>0*100/8/100</f>
        <v>0</v>
      </c>
    </row>
    <row r="160" spans="1:2" x14ac:dyDescent="0.25">
      <c r="A160" t="s">
        <v>36</v>
      </c>
      <c r="B160" s="3">
        <f>1*100/8/100</f>
        <v>0.125</v>
      </c>
    </row>
    <row r="173" spans="1:2" x14ac:dyDescent="0.25">
      <c r="A173" t="s">
        <v>37</v>
      </c>
    </row>
    <row r="174" spans="1:2" x14ac:dyDescent="0.25">
      <c r="A174" t="s">
        <v>38</v>
      </c>
      <c r="B174" s="3">
        <f>0*100/8/100</f>
        <v>0</v>
      </c>
    </row>
    <row r="175" spans="1:2" x14ac:dyDescent="0.25">
      <c r="A175" t="s">
        <v>39</v>
      </c>
      <c r="B175" s="3">
        <f>2*100/8/100</f>
        <v>0.25</v>
      </c>
    </row>
    <row r="176" spans="1:2" x14ac:dyDescent="0.25">
      <c r="A176" t="s">
        <v>40</v>
      </c>
      <c r="B176" s="3">
        <f>5*100/8/100</f>
        <v>0.625</v>
      </c>
    </row>
    <row r="177" spans="1:2" x14ac:dyDescent="0.25">
      <c r="A177" t="s">
        <v>41</v>
      </c>
      <c r="B177" s="3">
        <f>1*100/8/100</f>
        <v>0.125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encuesta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2024-10-08T18:15:23Z</dcterms:created>
  <dcterms:modified xsi:type="dcterms:W3CDTF">2024-11-11T23:25:38Z</dcterms:modified>
</cp:coreProperties>
</file>